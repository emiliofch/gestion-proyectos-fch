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chnew-my.sharepoint.com/personal/emilio_lopez_fch_cl/Documents/Documentos/Proyectos/gestion-proyectos-fch/public/"/>
    </mc:Choice>
  </mc:AlternateContent>
  <xr:revisionPtr revIDLastSave="54" documentId="8_{C7F785CD-F492-45A6-8011-A052CA213773}" xr6:coauthVersionLast="47" xr6:coauthVersionMax="47" xr10:uidLastSave="{FD1363C8-B81B-4A52-B5EF-14FBB25CE35D}"/>
  <bookViews>
    <workbookView xWindow="-120" yWindow="-16320" windowWidth="29040" windowHeight="15720" xr2:uid="{455D1B75-5C12-4E50-9089-0B0A661360FD}"/>
  </bookViews>
  <sheets>
    <sheet name="Hoja1" sheetId="1" r:id="rId1"/>
  </sheets>
  <definedNames>
    <definedName name="_xlnm._FilterDatabase" localSheetId="0" hidden="1">Hoja1!$A$1:$J$71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D26" i="1"/>
  <c r="G26" i="1" s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2" i="1"/>
  <c r="G2" i="1" s="1"/>
</calcChain>
</file>

<file path=xl/sharedStrings.xml><?xml version="1.0" encoding="utf-8"?>
<sst xmlns="http://schemas.openxmlformats.org/spreadsheetml/2006/main" count="360" uniqueCount="72">
  <si>
    <t>Línea</t>
  </si>
  <si>
    <t>Proyecto</t>
  </si>
  <si>
    <t>Ingreso</t>
  </si>
  <si>
    <t>HH</t>
  </si>
  <si>
    <t>GGOO</t>
  </si>
  <si>
    <t>MARGEN</t>
  </si>
  <si>
    <t>ESTADO</t>
  </si>
  <si>
    <t>PUBLICO?</t>
  </si>
  <si>
    <t>RENDIBLE?</t>
  </si>
  <si>
    <t>Desarrollo de Negocios</t>
  </si>
  <si>
    <t>3639.N.F50 Desarrollo De Negocio</t>
  </si>
  <si>
    <t>No Efectivo</t>
  </si>
  <si>
    <t>PRIVADO</t>
  </si>
  <si>
    <t>NO RENDIBLE</t>
  </si>
  <si>
    <t>3751.R.F06 Green Hub</t>
  </si>
  <si>
    <t>Adjudicado</t>
  </si>
  <si>
    <t>RENDIBLE</t>
  </si>
  <si>
    <t>3751.N.F30 Green Hub</t>
  </si>
  <si>
    <t>Efectivo</t>
  </si>
  <si>
    <t>3837.N.F99 SCALEX</t>
  </si>
  <si>
    <t>3884.N.F30 Fondo Anglo American</t>
  </si>
  <si>
    <t>3885.N.F30 A4FM Convergence</t>
  </si>
  <si>
    <t>3910.N.F50 Viraliza 2026</t>
  </si>
  <si>
    <t>PÚBLICO</t>
  </si>
  <si>
    <t>Proyectos Corporativos</t>
  </si>
  <si>
    <t>1598.N.F50.PROYECTOS POR ADJUDICAR</t>
  </si>
  <si>
    <t>3087.N.F99 Dubai - U-Planner</t>
  </si>
  <si>
    <t>3458.N.F50 Hackamine</t>
  </si>
  <si>
    <t>3510.N.F99 Iniciativa De Inversión Sostenible-Angl</t>
  </si>
  <si>
    <t>3560.N.F50 Desafío Vitacura</t>
  </si>
  <si>
    <t>3767.N.F00 ADMINISTRACIÓN CORPORATE</t>
  </si>
  <si>
    <t>3794.N.F50 Prospección Corporate</t>
  </si>
  <si>
    <t>3818.N.F50 Aceleradora SQM</t>
  </si>
  <si>
    <t>3819.N.F50 CVC Abastible</t>
  </si>
  <si>
    <t>3867.N.F99 AXIS CVC-E.D.C</t>
  </si>
  <si>
    <t>3877.N.F30 Apoyo Pyme Abastible</t>
  </si>
  <si>
    <t>3878.N.F50 Continuidad Coopeuch</t>
  </si>
  <si>
    <t>3879.N.F30 Propuesta Innpacta 2025-2026</t>
  </si>
  <si>
    <t>3880.N.F50 Tecla 9</t>
  </si>
  <si>
    <t>3881.N.F30 Scale Bci 2026</t>
  </si>
  <si>
    <t>3882.N.F30 Innovación Melón</t>
  </si>
  <si>
    <t>3883.N.F30 Scai-lab</t>
  </si>
  <si>
    <t>3908.N.F50 Innpacta 26-27</t>
  </si>
  <si>
    <t>3909.N.F50 Donor Advised Fund III</t>
  </si>
  <si>
    <t>Venture Capital</t>
  </si>
  <si>
    <t>2704.N.F00 Aceleradora</t>
  </si>
  <si>
    <t>3667.N.F00 Escalamiento 2023</t>
  </si>
  <si>
    <t>3763.N.F99 Escalamiento 2025</t>
  </si>
  <si>
    <t>3886.R.F01 Potencia 2026 - 2028</t>
  </si>
  <si>
    <t>3886.R.F01.C2.I1 Inversión convocatoria y scouting</t>
  </si>
  <si>
    <t>3886.R.F01.C2.I2 Asistencia técnica</t>
  </si>
  <si>
    <t>3886.R.F01.C2.I3 Masterclass y Workshops</t>
  </si>
  <si>
    <t>3886.R.F01.C2.I4 Networking</t>
  </si>
  <si>
    <t>3886.R.F01.C2.I5 Demo Day</t>
  </si>
  <si>
    <t>3886.R.F01.C2.I6 Costo Garantía</t>
  </si>
  <si>
    <t>3887.N.F30 Expande 2026</t>
  </si>
  <si>
    <t>3887.R.F30 Expande 2026</t>
  </si>
  <si>
    <t>2710.N.F00 Chile Global Angels</t>
  </si>
  <si>
    <t>3762.N.F50 Cga Fund</t>
  </si>
  <si>
    <t>2792.N.F99 Ingreso Pago Inver. innovadoras A Fch</t>
  </si>
  <si>
    <t>2907.N.F99 Gastos Inversiones Innovadoras</t>
  </si>
  <si>
    <t>Startup Lab.01</t>
  </si>
  <si>
    <t>3571.N.F00 Startuplab CORFO</t>
  </si>
  <si>
    <t>3571.N.F00 Startuplab Privado</t>
  </si>
  <si>
    <t>3872.N.F00 StartupLab.01BID</t>
  </si>
  <si>
    <t>3571.N.F00 Startuplab Banco Estado</t>
  </si>
  <si>
    <t>Gerencia de Área</t>
  </si>
  <si>
    <t>2827.N.F00 Gerencia Chileglobal Ventures</t>
  </si>
  <si>
    <t>Hub Metropolitano</t>
  </si>
  <si>
    <t>3773.N.F00 Hub M</t>
  </si>
  <si>
    <t>3773.N.F00 Hub M privado</t>
  </si>
  <si>
    <t>Fecha de adjudicación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</si>
</sst>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C8A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42" fontId="1" fillId="0" borderId="1" xfId="1" applyFont="1" applyFill="1" applyBorder="1"/>
    <xf numFmtId="42" fontId="0" fillId="0" borderId="1" xfId="1" applyFont="1" applyBorder="1"/>
    <xf numFmtId="42" fontId="0" fillId="0" borderId="1" xfId="1" applyFont="1" applyFill="1" applyBorder="1"/>
    <xf numFmtId="42" fontId="1" fillId="0" borderId="0" xfId="1" applyFont="1" applyFill="1" applyBorder="1"/>
    <xf numFmtId="0" fontId="0" fillId="0" borderId="2" xfId="0" applyBorder="1"/>
    <xf numFmtId="17" fontId="1" fillId="0" borderId="1" xfId="1" applyNumberFormat="1" applyFont="1" applyFill="1" applyBorder="1"/>
    <xf numFmtId="17" fontId="0" fillId="0" borderId="1" xfId="1" applyNumberFormat="1" applyFont="1" applyBorder="1"/>
  </cellXfs>
  <cellStyles count="2">
    <cellStyle name="Moneda [0]" xfId="1" builtinId="7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1ABA-5C2B-49D2-86F3-ABB0F75B7E3B}">
  <dimension ref="A1:J71"/>
  <sheetViews>
    <sheetView tabSelected="1" workbookViewId="0">
      <selection activeCell="B6" sqref="B6"/>
    </sheetView>
  </sheetViews>
  <sheetFormatPr baseColWidth="10" defaultRowHeight="14.5" x14ac:dyDescent="0.35"/>
  <cols>
    <col min="1" max="1" width="22.6328125" customWidth="1"/>
    <col min="2" max="2" width="43.08984375" bestFit="1" customWidth="1"/>
    <col min="3" max="3" width="18.08984375" bestFit="1" customWidth="1"/>
    <col min="4" max="5" width="14.1796875" bestFit="1" customWidth="1"/>
    <col min="6" max="7" width="13.26953125" bestFit="1" customWidth="1"/>
    <col min="8" max="8" width="11.453125" bestFit="1" customWidth="1"/>
    <col min="9" max="9" width="11.90625" bestFit="1" customWidth="1"/>
  </cols>
  <sheetData>
    <row r="1" spans="1:10" x14ac:dyDescent="0.35">
      <c r="A1" s="1" t="s">
        <v>0</v>
      </c>
      <c r="B1" s="1" t="s">
        <v>1</v>
      </c>
      <c r="C1" s="1" t="s">
        <v>71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2" t="s">
        <v>9</v>
      </c>
      <c r="B2" s="3" t="s">
        <v>10</v>
      </c>
      <c r="C2" s="8">
        <v>46023</v>
      </c>
      <c r="D2" s="3">
        <v>6000000</v>
      </c>
      <c r="E2" s="3">
        <f>49980408+4822172.4</f>
        <v>54802580.399999999</v>
      </c>
      <c r="F2" s="3">
        <v>11050000</v>
      </c>
      <c r="G2" s="4">
        <f t="shared" ref="G2:G65" si="0">D2-E2-F2</f>
        <v>-59852580.399999999</v>
      </c>
      <c r="H2" s="4" t="s">
        <v>11</v>
      </c>
      <c r="I2" s="4" t="s">
        <v>12</v>
      </c>
      <c r="J2" s="2" t="s">
        <v>13</v>
      </c>
    </row>
    <row r="3" spans="1:10" x14ac:dyDescent="0.35">
      <c r="A3" s="2" t="s">
        <v>9</v>
      </c>
      <c r="B3" s="5" t="s">
        <v>14</v>
      </c>
      <c r="C3" s="8">
        <v>46023</v>
      </c>
      <c r="D3" s="3">
        <v>4000000</v>
      </c>
      <c r="E3" s="3">
        <v>2782065.0999999996</v>
      </c>
      <c r="F3" s="3"/>
      <c r="G3" s="4">
        <f t="shared" si="0"/>
        <v>1217934.9000000004</v>
      </c>
      <c r="H3" s="4" t="s">
        <v>15</v>
      </c>
      <c r="I3" s="4" t="s">
        <v>12</v>
      </c>
      <c r="J3" s="2" t="s">
        <v>16</v>
      </c>
    </row>
    <row r="4" spans="1:10" x14ac:dyDescent="0.35">
      <c r="A4" s="2" t="s">
        <v>9</v>
      </c>
      <c r="B4" s="3" t="s">
        <v>17</v>
      </c>
      <c r="C4" s="8">
        <v>46023</v>
      </c>
      <c r="D4" s="3">
        <v>14000000</v>
      </c>
      <c r="E4" s="3"/>
      <c r="F4" s="3"/>
      <c r="G4" s="4">
        <f t="shared" si="0"/>
        <v>14000000</v>
      </c>
      <c r="H4" s="4" t="s">
        <v>18</v>
      </c>
      <c r="I4" s="4" t="s">
        <v>12</v>
      </c>
      <c r="J4" s="2" t="s">
        <v>13</v>
      </c>
    </row>
    <row r="5" spans="1:10" x14ac:dyDescent="0.35">
      <c r="A5" s="2" t="s">
        <v>9</v>
      </c>
      <c r="B5" s="3" t="s">
        <v>19</v>
      </c>
      <c r="C5" s="8">
        <v>46174</v>
      </c>
      <c r="D5" s="6">
        <v>0</v>
      </c>
      <c r="E5" s="3">
        <v>0</v>
      </c>
      <c r="F5" s="3">
        <v>0</v>
      </c>
      <c r="G5" s="4">
        <f t="shared" si="0"/>
        <v>0</v>
      </c>
      <c r="H5" s="4" t="s">
        <v>11</v>
      </c>
      <c r="I5" s="4" t="s">
        <v>12</v>
      </c>
      <c r="J5" s="2" t="s">
        <v>13</v>
      </c>
    </row>
    <row r="6" spans="1:10" x14ac:dyDescent="0.35">
      <c r="A6" s="2" t="s">
        <v>9</v>
      </c>
      <c r="B6" s="3" t="s">
        <v>20</v>
      </c>
      <c r="C6" s="8">
        <v>46296</v>
      </c>
      <c r="D6" s="3">
        <v>12000000</v>
      </c>
      <c r="E6" s="3">
        <v>11523348.810000001</v>
      </c>
      <c r="F6" s="3"/>
      <c r="G6" s="4">
        <f t="shared" si="0"/>
        <v>476651.18999999948</v>
      </c>
      <c r="H6" s="4" t="s">
        <v>18</v>
      </c>
      <c r="I6" s="4" t="s">
        <v>12</v>
      </c>
      <c r="J6" s="2" t="s">
        <v>13</v>
      </c>
    </row>
    <row r="7" spans="1:10" x14ac:dyDescent="0.35">
      <c r="A7" s="7" t="s">
        <v>9</v>
      </c>
      <c r="B7" s="3" t="s">
        <v>21</v>
      </c>
      <c r="C7" s="8">
        <v>46023</v>
      </c>
      <c r="D7" s="3">
        <v>100000000</v>
      </c>
      <c r="E7" s="3">
        <v>19288690</v>
      </c>
      <c r="F7" s="3">
        <v>50000000</v>
      </c>
      <c r="G7" s="4">
        <f t="shared" si="0"/>
        <v>30711310</v>
      </c>
      <c r="H7" s="4" t="s">
        <v>11</v>
      </c>
      <c r="I7" s="4" t="s">
        <v>12</v>
      </c>
      <c r="J7" s="2" t="s">
        <v>13</v>
      </c>
    </row>
    <row r="8" spans="1:10" x14ac:dyDescent="0.35">
      <c r="A8" s="2" t="s">
        <v>9</v>
      </c>
      <c r="B8" s="3" t="s">
        <v>22</v>
      </c>
      <c r="C8" s="8">
        <v>46023</v>
      </c>
      <c r="D8" s="3">
        <v>50000000</v>
      </c>
      <c r="E8" s="3">
        <v>15086949.600000001</v>
      </c>
      <c r="F8" s="3">
        <v>30000000</v>
      </c>
      <c r="G8" s="4">
        <f t="shared" si="0"/>
        <v>4913050.3999999985</v>
      </c>
      <c r="H8" s="4" t="s">
        <v>11</v>
      </c>
      <c r="I8" s="4" t="s">
        <v>23</v>
      </c>
      <c r="J8" s="2" t="s">
        <v>16</v>
      </c>
    </row>
    <row r="9" spans="1:10" x14ac:dyDescent="0.35">
      <c r="A9" s="2" t="s">
        <v>24</v>
      </c>
      <c r="B9" s="3" t="s">
        <v>25</v>
      </c>
      <c r="C9" s="8">
        <v>46054</v>
      </c>
      <c r="D9" s="3">
        <v>15833333.333333334</v>
      </c>
      <c r="E9" s="3">
        <v>16961031.169999991</v>
      </c>
      <c r="F9" s="3"/>
      <c r="G9" s="4">
        <f t="shared" si="0"/>
        <v>-1127697.8366666567</v>
      </c>
      <c r="H9" s="4" t="s">
        <v>11</v>
      </c>
      <c r="I9" s="4" t="s">
        <v>12</v>
      </c>
      <c r="J9" s="2" t="s">
        <v>13</v>
      </c>
    </row>
    <row r="10" spans="1:10" x14ac:dyDescent="0.35">
      <c r="A10" s="2" t="s">
        <v>24</v>
      </c>
      <c r="B10" s="3" t="s">
        <v>25</v>
      </c>
      <c r="C10" s="8">
        <v>46113</v>
      </c>
      <c r="D10" s="3">
        <v>15833333.333333334</v>
      </c>
      <c r="E10" s="3">
        <v>16961031.169999991</v>
      </c>
      <c r="F10" s="3"/>
      <c r="G10" s="4">
        <f t="shared" si="0"/>
        <v>-1127697.8366666567</v>
      </c>
      <c r="H10" s="4" t="s">
        <v>11</v>
      </c>
      <c r="I10" s="4" t="s">
        <v>12</v>
      </c>
      <c r="J10" s="2" t="s">
        <v>13</v>
      </c>
    </row>
    <row r="11" spans="1:10" x14ac:dyDescent="0.35">
      <c r="A11" s="2" t="s">
        <v>24</v>
      </c>
      <c r="B11" s="3" t="s">
        <v>25</v>
      </c>
      <c r="C11" s="8">
        <v>46174</v>
      </c>
      <c r="D11" s="3">
        <v>15833333.333333334</v>
      </c>
      <c r="E11" s="3">
        <v>16961031.169999991</v>
      </c>
      <c r="F11" s="3"/>
      <c r="G11" s="4">
        <f t="shared" si="0"/>
        <v>-1127697.8366666567</v>
      </c>
      <c r="H11" s="4" t="s">
        <v>11</v>
      </c>
      <c r="I11" s="4" t="s">
        <v>12</v>
      </c>
      <c r="J11" s="2" t="s">
        <v>13</v>
      </c>
    </row>
    <row r="12" spans="1:10" x14ac:dyDescent="0.35">
      <c r="A12" s="2" t="s">
        <v>24</v>
      </c>
      <c r="B12" s="3" t="s">
        <v>25</v>
      </c>
      <c r="C12" s="8">
        <v>46235</v>
      </c>
      <c r="D12" s="3">
        <v>15833333.333333334</v>
      </c>
      <c r="E12" s="3">
        <v>16961031.169999991</v>
      </c>
      <c r="F12" s="3"/>
      <c r="G12" s="4">
        <f t="shared" si="0"/>
        <v>-1127697.8366666567</v>
      </c>
      <c r="H12" s="4" t="s">
        <v>11</v>
      </c>
      <c r="I12" s="4" t="s">
        <v>12</v>
      </c>
      <c r="J12" s="2" t="s">
        <v>13</v>
      </c>
    </row>
    <row r="13" spans="1:10" x14ac:dyDescent="0.35">
      <c r="A13" s="2" t="s">
        <v>24</v>
      </c>
      <c r="B13" s="3" t="s">
        <v>25</v>
      </c>
      <c r="C13" s="8">
        <v>46296</v>
      </c>
      <c r="D13" s="3">
        <v>15833333.333333334</v>
      </c>
      <c r="E13" s="3">
        <v>16961031.169999991</v>
      </c>
      <c r="F13" s="3"/>
      <c r="G13" s="4">
        <f t="shared" si="0"/>
        <v>-1127697.8366666567</v>
      </c>
      <c r="H13" s="4" t="s">
        <v>11</v>
      </c>
      <c r="I13" s="4" t="s">
        <v>12</v>
      </c>
      <c r="J13" s="2" t="s">
        <v>13</v>
      </c>
    </row>
    <row r="14" spans="1:10" x14ac:dyDescent="0.35">
      <c r="A14" s="2" t="s">
        <v>24</v>
      </c>
      <c r="B14" s="3" t="s">
        <v>25</v>
      </c>
      <c r="C14" s="8">
        <v>46357</v>
      </c>
      <c r="D14" s="3">
        <v>15833333.333333334</v>
      </c>
      <c r="E14" s="3">
        <v>16961031.169999991</v>
      </c>
      <c r="F14" s="3"/>
      <c r="G14" s="4">
        <f t="shared" si="0"/>
        <v>-1127697.8366666567</v>
      </c>
      <c r="H14" s="4" t="s">
        <v>11</v>
      </c>
      <c r="I14" s="4" t="s">
        <v>12</v>
      </c>
      <c r="J14" s="2" t="s">
        <v>13</v>
      </c>
    </row>
    <row r="15" spans="1:10" x14ac:dyDescent="0.35">
      <c r="A15" s="2" t="s">
        <v>24</v>
      </c>
      <c r="B15" s="3" t="s">
        <v>26</v>
      </c>
      <c r="C15" s="8">
        <v>46023</v>
      </c>
      <c r="D15" s="3">
        <v>65610000</v>
      </c>
      <c r="E15" s="3"/>
      <c r="F15" s="3">
        <v>59049000</v>
      </c>
      <c r="G15" s="4">
        <f t="shared" si="0"/>
        <v>6561000</v>
      </c>
      <c r="H15" s="4" t="s">
        <v>15</v>
      </c>
      <c r="I15" s="4" t="s">
        <v>12</v>
      </c>
      <c r="J15" s="2" t="s">
        <v>13</v>
      </c>
    </row>
    <row r="16" spans="1:10" x14ac:dyDescent="0.35">
      <c r="A16" s="7" t="s">
        <v>24</v>
      </c>
      <c r="B16" s="3" t="s">
        <v>27</v>
      </c>
      <c r="C16" s="8">
        <v>46143</v>
      </c>
      <c r="D16" s="3">
        <v>98000000</v>
      </c>
      <c r="E16" s="3">
        <v>15572400.079999996</v>
      </c>
      <c r="F16" s="3">
        <v>56500000</v>
      </c>
      <c r="G16" s="4">
        <f t="shared" si="0"/>
        <v>25927599.920000002</v>
      </c>
      <c r="H16" s="4" t="s">
        <v>11</v>
      </c>
      <c r="I16" s="4" t="s">
        <v>12</v>
      </c>
      <c r="J16" s="2" t="s">
        <v>13</v>
      </c>
    </row>
    <row r="17" spans="1:10" x14ac:dyDescent="0.35">
      <c r="A17" s="2" t="s">
        <v>24</v>
      </c>
      <c r="B17" s="3" t="s">
        <v>28</v>
      </c>
      <c r="C17" s="8">
        <v>46023</v>
      </c>
      <c r="D17" s="3">
        <v>185000000</v>
      </c>
      <c r="E17" s="3">
        <v>79562543.860000089</v>
      </c>
      <c r="F17" s="3">
        <v>61000000</v>
      </c>
      <c r="G17" s="4">
        <f t="shared" si="0"/>
        <v>44437456.139999911</v>
      </c>
      <c r="H17" s="4" t="s">
        <v>15</v>
      </c>
      <c r="I17" s="4" t="s">
        <v>12</v>
      </c>
      <c r="J17" s="2" t="s">
        <v>13</v>
      </c>
    </row>
    <row r="18" spans="1:10" x14ac:dyDescent="0.35">
      <c r="A18" s="2" t="s">
        <v>24</v>
      </c>
      <c r="B18" s="3" t="s">
        <v>29</v>
      </c>
      <c r="C18" s="8">
        <v>46082</v>
      </c>
      <c r="D18" s="3">
        <v>78000000</v>
      </c>
      <c r="E18" s="3">
        <v>29388459.199999984</v>
      </c>
      <c r="F18" s="3">
        <v>24000000</v>
      </c>
      <c r="G18" s="4">
        <f t="shared" si="0"/>
        <v>24611540.800000012</v>
      </c>
      <c r="H18" s="4" t="s">
        <v>11</v>
      </c>
      <c r="I18" s="4" t="s">
        <v>23</v>
      </c>
      <c r="J18" s="2" t="s">
        <v>16</v>
      </c>
    </row>
    <row r="19" spans="1:10" x14ac:dyDescent="0.35">
      <c r="A19" s="2" t="s">
        <v>24</v>
      </c>
      <c r="B19" s="3" t="s">
        <v>30</v>
      </c>
      <c r="C19" s="8">
        <v>46023</v>
      </c>
      <c r="D19" s="3"/>
      <c r="E19" s="3">
        <v>71655716.399999946</v>
      </c>
      <c r="F19" s="3">
        <v>3060000</v>
      </c>
      <c r="G19" s="4">
        <f t="shared" si="0"/>
        <v>-74715716.399999946</v>
      </c>
      <c r="H19" s="4" t="s">
        <v>15</v>
      </c>
      <c r="I19" s="4" t="s">
        <v>12</v>
      </c>
      <c r="J19" s="2" t="s">
        <v>13</v>
      </c>
    </row>
    <row r="20" spans="1:10" x14ac:dyDescent="0.35">
      <c r="A20" s="2" t="s">
        <v>24</v>
      </c>
      <c r="B20" s="3" t="s">
        <v>31</v>
      </c>
      <c r="C20" s="8">
        <v>46023</v>
      </c>
      <c r="D20" s="3"/>
      <c r="E20" s="3">
        <v>27355542.000000022</v>
      </c>
      <c r="F20" s="3"/>
      <c r="G20" s="4">
        <f t="shared" si="0"/>
        <v>-27355542.000000022</v>
      </c>
      <c r="H20" s="4" t="s">
        <v>15</v>
      </c>
      <c r="I20" s="4" t="s">
        <v>12</v>
      </c>
      <c r="J20" s="2" t="s">
        <v>13</v>
      </c>
    </row>
    <row r="21" spans="1:10" x14ac:dyDescent="0.35">
      <c r="A21" s="2" t="s">
        <v>24</v>
      </c>
      <c r="B21" s="3" t="s">
        <v>32</v>
      </c>
      <c r="C21" s="8">
        <v>46174</v>
      </c>
      <c r="D21" s="3">
        <v>66000000</v>
      </c>
      <c r="E21" s="3">
        <v>28420917.679999996</v>
      </c>
      <c r="F21" s="3">
        <v>9000000</v>
      </c>
      <c r="G21" s="4">
        <f t="shared" si="0"/>
        <v>28579082.320000008</v>
      </c>
      <c r="H21" s="4" t="s">
        <v>11</v>
      </c>
      <c r="I21" s="4" t="s">
        <v>12</v>
      </c>
      <c r="J21" s="2" t="s">
        <v>13</v>
      </c>
    </row>
    <row r="22" spans="1:10" x14ac:dyDescent="0.35">
      <c r="A22" s="2" t="s">
        <v>24</v>
      </c>
      <c r="B22" s="3" t="s">
        <v>33</v>
      </c>
      <c r="C22" s="8">
        <v>46113</v>
      </c>
      <c r="D22" s="3">
        <v>40000000</v>
      </c>
      <c r="E22" s="3">
        <v>23110097.400000002</v>
      </c>
      <c r="F22" s="3">
        <v>4000000</v>
      </c>
      <c r="G22" s="4">
        <f t="shared" si="0"/>
        <v>12889902.599999998</v>
      </c>
      <c r="H22" s="4" t="s">
        <v>11</v>
      </c>
      <c r="I22" s="4" t="s">
        <v>12</v>
      </c>
      <c r="J22" s="2" t="s">
        <v>13</v>
      </c>
    </row>
    <row r="23" spans="1:10" x14ac:dyDescent="0.35">
      <c r="A23" s="2" t="s">
        <v>24</v>
      </c>
      <c r="B23" s="4" t="s">
        <v>34</v>
      </c>
      <c r="C23" s="8">
        <v>46023</v>
      </c>
      <c r="D23" s="5">
        <v>6000000</v>
      </c>
      <c r="E23" s="5">
        <v>6645406.7999999998</v>
      </c>
      <c r="F23" s="4"/>
      <c r="G23" s="4">
        <f t="shared" si="0"/>
        <v>-645406.79999999981</v>
      </c>
      <c r="H23" s="4" t="s">
        <v>15</v>
      </c>
      <c r="I23" s="4" t="s">
        <v>12</v>
      </c>
      <c r="J23" s="2" t="s">
        <v>13</v>
      </c>
    </row>
    <row r="24" spans="1:10" x14ac:dyDescent="0.35">
      <c r="A24" s="2" t="s">
        <v>24</v>
      </c>
      <c r="B24" s="4" t="s">
        <v>35</v>
      </c>
      <c r="C24" s="9">
        <v>46174</v>
      </c>
      <c r="D24" s="5">
        <v>12000000</v>
      </c>
      <c r="E24" s="5">
        <v>7411553.3999999985</v>
      </c>
      <c r="F24" s="4">
        <v>200000</v>
      </c>
      <c r="G24" s="4">
        <f t="shared" si="0"/>
        <v>4388446.6000000015</v>
      </c>
      <c r="H24" s="4" t="s">
        <v>18</v>
      </c>
      <c r="I24" s="4" t="s">
        <v>12</v>
      </c>
      <c r="J24" s="2" t="s">
        <v>13</v>
      </c>
    </row>
    <row r="25" spans="1:10" x14ac:dyDescent="0.35">
      <c r="A25" s="2" t="s">
        <v>24</v>
      </c>
      <c r="B25" s="4" t="s">
        <v>36</v>
      </c>
      <c r="C25" s="9">
        <v>46143</v>
      </c>
      <c r="D25" s="5">
        <v>42000000</v>
      </c>
      <c r="E25" s="5">
        <v>18282955.800000001</v>
      </c>
      <c r="F25" s="4">
        <v>4000000</v>
      </c>
      <c r="G25" s="4">
        <f t="shared" si="0"/>
        <v>19717044.199999999</v>
      </c>
      <c r="H25" s="4" t="s">
        <v>11</v>
      </c>
      <c r="I25" s="4" t="s">
        <v>12</v>
      </c>
      <c r="J25" s="2" t="s">
        <v>13</v>
      </c>
    </row>
    <row r="26" spans="1:10" x14ac:dyDescent="0.35">
      <c r="A26" s="2" t="s">
        <v>24</v>
      </c>
      <c r="B26" s="4" t="s">
        <v>37</v>
      </c>
      <c r="C26" s="8">
        <v>46023</v>
      </c>
      <c r="D26" s="5">
        <f>29000000-9600000</f>
        <v>19400000</v>
      </c>
      <c r="E26" s="5">
        <v>10203757.4</v>
      </c>
      <c r="F26" s="4">
        <v>9150000</v>
      </c>
      <c r="G26" s="4">
        <f t="shared" si="0"/>
        <v>46242.599999999627</v>
      </c>
      <c r="H26" s="4" t="s">
        <v>15</v>
      </c>
      <c r="I26" s="4" t="s">
        <v>12</v>
      </c>
      <c r="J26" s="2" t="s">
        <v>13</v>
      </c>
    </row>
    <row r="27" spans="1:10" x14ac:dyDescent="0.35">
      <c r="A27" s="2" t="s">
        <v>24</v>
      </c>
      <c r="B27" s="4" t="s">
        <v>38</v>
      </c>
      <c r="C27" s="9">
        <v>46113</v>
      </c>
      <c r="D27" s="5">
        <v>66000000</v>
      </c>
      <c r="E27" s="5">
        <v>13814989.999999996</v>
      </c>
      <c r="F27" s="4">
        <v>350000</v>
      </c>
      <c r="G27" s="4">
        <f t="shared" si="0"/>
        <v>51835010</v>
      </c>
      <c r="H27" s="4" t="s">
        <v>11</v>
      </c>
      <c r="I27" s="4" t="s">
        <v>12</v>
      </c>
      <c r="J27" s="2" t="s">
        <v>13</v>
      </c>
    </row>
    <row r="28" spans="1:10" x14ac:dyDescent="0.35">
      <c r="A28" s="2" t="s">
        <v>24</v>
      </c>
      <c r="B28" s="4" t="s">
        <v>39</v>
      </c>
      <c r="C28" s="9">
        <v>46082</v>
      </c>
      <c r="D28" s="5">
        <v>44000000</v>
      </c>
      <c r="E28" s="5">
        <v>14428164.250000002</v>
      </c>
      <c r="F28" s="4">
        <v>1000000</v>
      </c>
      <c r="G28" s="4">
        <f t="shared" si="0"/>
        <v>28571835.75</v>
      </c>
      <c r="H28" s="4" t="s">
        <v>11</v>
      </c>
      <c r="I28" s="4" t="s">
        <v>12</v>
      </c>
      <c r="J28" s="2" t="s">
        <v>13</v>
      </c>
    </row>
    <row r="29" spans="1:10" x14ac:dyDescent="0.35">
      <c r="A29" s="2" t="s">
        <v>24</v>
      </c>
      <c r="B29" s="4" t="s">
        <v>40</v>
      </c>
      <c r="C29" s="9">
        <v>46023</v>
      </c>
      <c r="D29" s="5">
        <v>76000000</v>
      </c>
      <c r="E29" s="5">
        <v>48570207.599999957</v>
      </c>
      <c r="F29" s="4">
        <v>5250000</v>
      </c>
      <c r="G29" s="4">
        <f t="shared" si="0"/>
        <v>22179792.400000043</v>
      </c>
      <c r="H29" s="4" t="s">
        <v>18</v>
      </c>
      <c r="I29" s="4" t="s">
        <v>12</v>
      </c>
      <c r="J29" s="2" t="s">
        <v>13</v>
      </c>
    </row>
    <row r="30" spans="1:10" x14ac:dyDescent="0.35">
      <c r="A30" s="2" t="s">
        <v>24</v>
      </c>
      <c r="B30" s="4" t="s">
        <v>41</v>
      </c>
      <c r="C30" s="9">
        <v>46023</v>
      </c>
      <c r="D30" s="5">
        <v>48000000</v>
      </c>
      <c r="E30" s="5">
        <v>47021736.480000041</v>
      </c>
      <c r="F30" s="4">
        <v>600000</v>
      </c>
      <c r="G30" s="4">
        <f t="shared" si="0"/>
        <v>378263.51999995857</v>
      </c>
      <c r="H30" s="4" t="s">
        <v>18</v>
      </c>
      <c r="I30" s="4" t="s">
        <v>12</v>
      </c>
      <c r="J30" s="2" t="s">
        <v>13</v>
      </c>
    </row>
    <row r="31" spans="1:10" x14ac:dyDescent="0.35">
      <c r="A31" s="2" t="s">
        <v>24</v>
      </c>
      <c r="B31" s="4" t="s">
        <v>42</v>
      </c>
      <c r="C31" s="9">
        <v>46235</v>
      </c>
      <c r="D31" s="5">
        <v>20000000</v>
      </c>
      <c r="E31" s="5">
        <v>7559088.5999999978</v>
      </c>
      <c r="F31" s="4"/>
      <c r="G31" s="4">
        <f t="shared" si="0"/>
        <v>12440911.400000002</v>
      </c>
      <c r="H31" s="4" t="s">
        <v>11</v>
      </c>
      <c r="I31" s="4" t="s">
        <v>12</v>
      </c>
      <c r="J31" s="2" t="s">
        <v>13</v>
      </c>
    </row>
    <row r="32" spans="1:10" x14ac:dyDescent="0.35">
      <c r="A32" s="2" t="s">
        <v>24</v>
      </c>
      <c r="B32" s="4" t="s">
        <v>43</v>
      </c>
      <c r="C32" s="9">
        <v>46023</v>
      </c>
      <c r="D32" s="5">
        <v>17500000</v>
      </c>
      <c r="E32" s="5">
        <v>10278693.850000007</v>
      </c>
      <c r="F32" s="4">
        <v>6000000</v>
      </c>
      <c r="G32" s="4">
        <f t="shared" si="0"/>
        <v>1221306.1499999929</v>
      </c>
      <c r="H32" s="4" t="s">
        <v>11</v>
      </c>
      <c r="I32" s="4" t="s">
        <v>12</v>
      </c>
      <c r="J32" s="2" t="s">
        <v>13</v>
      </c>
    </row>
    <row r="33" spans="1:10" x14ac:dyDescent="0.35">
      <c r="A33" s="2" t="s">
        <v>9</v>
      </c>
      <c r="B33" s="4" t="s">
        <v>45</v>
      </c>
      <c r="C33" s="8">
        <v>46023</v>
      </c>
      <c r="D33" s="5"/>
      <c r="E33" s="5">
        <v>3883980.5999999992</v>
      </c>
      <c r="F33" s="4">
        <v>1390000</v>
      </c>
      <c r="G33" s="4">
        <f t="shared" si="0"/>
        <v>-5273980.5999999996</v>
      </c>
      <c r="H33" s="4" t="s">
        <v>15</v>
      </c>
      <c r="I33" s="4" t="s">
        <v>12</v>
      </c>
      <c r="J33" s="2" t="s">
        <v>13</v>
      </c>
    </row>
    <row r="34" spans="1:10" x14ac:dyDescent="0.35">
      <c r="A34" s="2" t="s">
        <v>9</v>
      </c>
      <c r="B34" s="4" t="s">
        <v>46</v>
      </c>
      <c r="C34" s="8">
        <v>46023</v>
      </c>
      <c r="D34" s="5"/>
      <c r="E34" s="5">
        <v>3096045.11</v>
      </c>
      <c r="F34" s="4"/>
      <c r="G34" s="4">
        <f t="shared" si="0"/>
        <v>-3096045.11</v>
      </c>
      <c r="H34" s="4" t="s">
        <v>15</v>
      </c>
      <c r="I34" s="4" t="s">
        <v>23</v>
      </c>
      <c r="J34" s="2" t="s">
        <v>13</v>
      </c>
    </row>
    <row r="35" spans="1:10" x14ac:dyDescent="0.35">
      <c r="A35" s="2" t="s">
        <v>9</v>
      </c>
      <c r="B35" s="4" t="s">
        <v>47</v>
      </c>
      <c r="C35" s="8">
        <v>46023</v>
      </c>
      <c r="D35" s="5"/>
      <c r="E35" s="5">
        <v>1287793.08</v>
      </c>
      <c r="F35" s="4"/>
      <c r="G35" s="4">
        <f t="shared" si="0"/>
        <v>-1287793.08</v>
      </c>
      <c r="H35" s="4" t="s">
        <v>15</v>
      </c>
      <c r="I35" s="4" t="s">
        <v>23</v>
      </c>
      <c r="J35" s="2" t="s">
        <v>13</v>
      </c>
    </row>
    <row r="36" spans="1:10" x14ac:dyDescent="0.35">
      <c r="A36" s="2" t="s">
        <v>9</v>
      </c>
      <c r="B36" s="4" t="s">
        <v>48</v>
      </c>
      <c r="C36" s="8">
        <v>46023</v>
      </c>
      <c r="D36" s="5">
        <v>80000000</v>
      </c>
      <c r="E36" s="5">
        <v>60894707.360000066</v>
      </c>
      <c r="F36" s="4">
        <v>0</v>
      </c>
      <c r="G36" s="4">
        <f t="shared" si="0"/>
        <v>19105292.639999934</v>
      </c>
      <c r="H36" s="4" t="s">
        <v>15</v>
      </c>
      <c r="I36" s="4" t="s">
        <v>23</v>
      </c>
      <c r="J36" s="2" t="s">
        <v>16</v>
      </c>
    </row>
    <row r="37" spans="1:10" x14ac:dyDescent="0.35">
      <c r="A37" s="2" t="s">
        <v>9</v>
      </c>
      <c r="B37" s="4" t="s">
        <v>49</v>
      </c>
      <c r="C37" s="8">
        <v>46023</v>
      </c>
      <c r="D37" s="5"/>
      <c r="E37" s="5"/>
      <c r="F37" s="4">
        <v>3000000</v>
      </c>
      <c r="G37" s="4">
        <f t="shared" si="0"/>
        <v>-3000000</v>
      </c>
      <c r="H37" s="4" t="s">
        <v>15</v>
      </c>
      <c r="I37" s="4" t="s">
        <v>23</v>
      </c>
      <c r="J37" s="2" t="s">
        <v>16</v>
      </c>
    </row>
    <row r="38" spans="1:10" x14ac:dyDescent="0.35">
      <c r="A38" s="2" t="s">
        <v>9</v>
      </c>
      <c r="B38" s="4" t="s">
        <v>50</v>
      </c>
      <c r="C38" s="8">
        <v>46023</v>
      </c>
      <c r="D38" s="5"/>
      <c r="E38" s="5"/>
      <c r="F38" s="4">
        <v>4000000</v>
      </c>
      <c r="G38" s="4">
        <f t="shared" si="0"/>
        <v>-4000000</v>
      </c>
      <c r="H38" s="4" t="s">
        <v>15</v>
      </c>
      <c r="I38" s="4" t="s">
        <v>23</v>
      </c>
      <c r="J38" s="2" t="s">
        <v>16</v>
      </c>
    </row>
    <row r="39" spans="1:10" x14ac:dyDescent="0.35">
      <c r="A39" s="2" t="s">
        <v>9</v>
      </c>
      <c r="B39" s="4" t="s">
        <v>51</v>
      </c>
      <c r="C39" s="8">
        <v>46023</v>
      </c>
      <c r="D39" s="5"/>
      <c r="E39" s="5"/>
      <c r="F39" s="4">
        <v>2000002</v>
      </c>
      <c r="G39" s="4">
        <f t="shared" si="0"/>
        <v>-2000002</v>
      </c>
      <c r="H39" s="4" t="s">
        <v>15</v>
      </c>
      <c r="I39" s="4" t="s">
        <v>23</v>
      </c>
      <c r="J39" s="2" t="s">
        <v>16</v>
      </c>
    </row>
    <row r="40" spans="1:10" x14ac:dyDescent="0.35">
      <c r="A40" s="2" t="s">
        <v>9</v>
      </c>
      <c r="B40" s="4" t="s">
        <v>52</v>
      </c>
      <c r="C40" s="8">
        <v>46023</v>
      </c>
      <c r="D40" s="5"/>
      <c r="E40" s="5"/>
      <c r="F40" s="4">
        <v>1000000</v>
      </c>
      <c r="G40" s="4">
        <f t="shared" si="0"/>
        <v>-1000000</v>
      </c>
      <c r="H40" s="4" t="s">
        <v>15</v>
      </c>
      <c r="I40" s="4" t="s">
        <v>23</v>
      </c>
      <c r="J40" s="2" t="s">
        <v>16</v>
      </c>
    </row>
    <row r="41" spans="1:10" x14ac:dyDescent="0.35">
      <c r="A41" s="2" t="s">
        <v>9</v>
      </c>
      <c r="B41" s="4" t="s">
        <v>53</v>
      </c>
      <c r="C41" s="8">
        <v>46023</v>
      </c>
      <c r="D41" s="5"/>
      <c r="E41" s="5"/>
      <c r="F41" s="4">
        <v>4000000</v>
      </c>
      <c r="G41" s="4">
        <f t="shared" si="0"/>
        <v>-4000000</v>
      </c>
      <c r="H41" s="4" t="s">
        <v>15</v>
      </c>
      <c r="I41" s="4" t="s">
        <v>23</v>
      </c>
      <c r="J41" s="2" t="s">
        <v>16</v>
      </c>
    </row>
    <row r="42" spans="1:10" x14ac:dyDescent="0.35">
      <c r="A42" s="2" t="s">
        <v>9</v>
      </c>
      <c r="B42" s="4" t="s">
        <v>54</v>
      </c>
      <c r="C42" s="8">
        <v>46023</v>
      </c>
      <c r="D42" s="5"/>
      <c r="E42" s="5"/>
      <c r="F42" s="4">
        <v>2400000</v>
      </c>
      <c r="G42" s="4">
        <f t="shared" si="0"/>
        <v>-2400000</v>
      </c>
      <c r="H42" s="4" t="s">
        <v>15</v>
      </c>
      <c r="I42" s="4" t="s">
        <v>23</v>
      </c>
      <c r="J42" s="2" t="s">
        <v>16</v>
      </c>
    </row>
    <row r="43" spans="1:10" x14ac:dyDescent="0.35">
      <c r="A43" s="2" t="s">
        <v>9</v>
      </c>
      <c r="B43" s="4" t="s">
        <v>55</v>
      </c>
      <c r="C43" s="8">
        <v>46023</v>
      </c>
      <c r="D43" s="5">
        <v>16806720</v>
      </c>
      <c r="E43" s="5">
        <v>5227194</v>
      </c>
      <c r="F43" s="4"/>
      <c r="G43" s="4">
        <f t="shared" si="0"/>
        <v>11579526</v>
      </c>
      <c r="H43" s="4" t="s">
        <v>15</v>
      </c>
      <c r="I43" s="4" t="s">
        <v>23</v>
      </c>
      <c r="J43" s="2" t="s">
        <v>13</v>
      </c>
    </row>
    <row r="44" spans="1:10" x14ac:dyDescent="0.35">
      <c r="A44" s="2" t="s">
        <v>9</v>
      </c>
      <c r="B44" s="4" t="s">
        <v>56</v>
      </c>
      <c r="C44" s="8">
        <v>46023</v>
      </c>
      <c r="D44" s="5"/>
      <c r="E44" s="5"/>
      <c r="F44" s="4"/>
      <c r="G44" s="4">
        <f t="shared" si="0"/>
        <v>0</v>
      </c>
      <c r="H44" s="4" t="s">
        <v>15</v>
      </c>
      <c r="I44" s="4" t="s">
        <v>23</v>
      </c>
      <c r="J44" s="2" t="s">
        <v>13</v>
      </c>
    </row>
    <row r="45" spans="1:10" x14ac:dyDescent="0.35">
      <c r="A45" s="2" t="s">
        <v>44</v>
      </c>
      <c r="B45" s="4" t="s">
        <v>57</v>
      </c>
      <c r="C45" s="9">
        <v>46266</v>
      </c>
      <c r="D45" s="5">
        <v>47030800</v>
      </c>
      <c r="E45" s="5">
        <v>34510336.159999996</v>
      </c>
      <c r="F45" s="4">
        <v>8324640</v>
      </c>
      <c r="G45" s="4">
        <f t="shared" si="0"/>
        <v>4195823.8400000036</v>
      </c>
      <c r="H45" s="4" t="s">
        <v>18</v>
      </c>
      <c r="I45" s="4" t="s">
        <v>12</v>
      </c>
      <c r="J45" s="2" t="s">
        <v>13</v>
      </c>
    </row>
    <row r="46" spans="1:10" x14ac:dyDescent="0.35">
      <c r="A46" s="2" t="s">
        <v>44</v>
      </c>
      <c r="B46" s="4" t="s">
        <v>58</v>
      </c>
      <c r="C46" s="9">
        <v>46266</v>
      </c>
      <c r="D46" s="5">
        <v>75000000</v>
      </c>
      <c r="E46" s="5">
        <v>43252297.200000003</v>
      </c>
      <c r="F46" s="4"/>
      <c r="G46" s="4">
        <f t="shared" si="0"/>
        <v>31747702.799999997</v>
      </c>
      <c r="H46" s="4" t="s">
        <v>11</v>
      </c>
      <c r="I46" s="4" t="s">
        <v>12</v>
      </c>
      <c r="J46" s="2" t="s">
        <v>13</v>
      </c>
    </row>
    <row r="47" spans="1:10" x14ac:dyDescent="0.35">
      <c r="A47" s="2" t="s">
        <v>44</v>
      </c>
      <c r="B47" s="4" t="s">
        <v>59</v>
      </c>
      <c r="C47" s="8">
        <v>46023</v>
      </c>
      <c r="D47" s="5">
        <v>380016000</v>
      </c>
      <c r="E47" s="5">
        <v>184313714.75999984</v>
      </c>
      <c r="F47" s="4">
        <v>21995367</v>
      </c>
      <c r="G47" s="4">
        <f t="shared" si="0"/>
        <v>173706918.24000016</v>
      </c>
      <c r="H47" s="4" t="s">
        <v>15</v>
      </c>
      <c r="I47" s="4" t="s">
        <v>12</v>
      </c>
      <c r="J47" s="2" t="s">
        <v>13</v>
      </c>
    </row>
    <row r="48" spans="1:10" x14ac:dyDescent="0.35">
      <c r="A48" s="2" t="s">
        <v>44</v>
      </c>
      <c r="B48" s="4" t="s">
        <v>60</v>
      </c>
      <c r="C48" s="8">
        <v>46023</v>
      </c>
      <c r="D48" s="5">
        <v>21717663</v>
      </c>
      <c r="E48" s="5"/>
      <c r="F48" s="4"/>
      <c r="G48" s="4">
        <f t="shared" si="0"/>
        <v>21717663</v>
      </c>
      <c r="H48" s="4" t="s">
        <v>15</v>
      </c>
      <c r="I48" s="4" t="s">
        <v>12</v>
      </c>
      <c r="J48" s="2" t="s">
        <v>13</v>
      </c>
    </row>
    <row r="49" spans="1:10" x14ac:dyDescent="0.35">
      <c r="A49" s="2" t="s">
        <v>61</v>
      </c>
      <c r="B49" s="2" t="s">
        <v>62</v>
      </c>
      <c r="C49" s="8">
        <v>46023</v>
      </c>
      <c r="D49" s="5">
        <v>1666991372</v>
      </c>
      <c r="E49" s="5">
        <v>534136572</v>
      </c>
      <c r="F49" s="4">
        <v>1380088000</v>
      </c>
      <c r="G49" s="4">
        <f t="shared" si="0"/>
        <v>-247233200</v>
      </c>
      <c r="H49" s="4" t="s">
        <v>15</v>
      </c>
      <c r="I49" s="5" t="s">
        <v>23</v>
      </c>
      <c r="J49" s="2" t="s">
        <v>16</v>
      </c>
    </row>
    <row r="50" spans="1:10" x14ac:dyDescent="0.35">
      <c r="A50" s="2" t="s">
        <v>61</v>
      </c>
      <c r="B50" s="2" t="s">
        <v>63</v>
      </c>
      <c r="C50" s="9">
        <v>46023</v>
      </c>
      <c r="D50" s="5">
        <v>21894271</v>
      </c>
      <c r="E50" s="5"/>
      <c r="F50" s="4"/>
      <c r="G50" s="4">
        <f t="shared" si="0"/>
        <v>21894271</v>
      </c>
      <c r="H50" s="4" t="s">
        <v>11</v>
      </c>
      <c r="I50" s="5" t="s">
        <v>12</v>
      </c>
      <c r="J50" s="2" t="s">
        <v>16</v>
      </c>
    </row>
    <row r="51" spans="1:10" x14ac:dyDescent="0.35">
      <c r="A51" s="2" t="s">
        <v>61</v>
      </c>
      <c r="B51" s="2" t="s">
        <v>63</v>
      </c>
      <c r="C51" s="9">
        <v>46054</v>
      </c>
      <c r="D51" s="5">
        <v>21894271</v>
      </c>
      <c r="E51" s="5"/>
      <c r="F51" s="4"/>
      <c r="G51" s="4">
        <f t="shared" si="0"/>
        <v>21894271</v>
      </c>
      <c r="H51" s="4" t="s">
        <v>11</v>
      </c>
      <c r="I51" s="5" t="s">
        <v>12</v>
      </c>
      <c r="J51" s="2" t="s">
        <v>16</v>
      </c>
    </row>
    <row r="52" spans="1:10" x14ac:dyDescent="0.35">
      <c r="A52" s="2" t="s">
        <v>61</v>
      </c>
      <c r="B52" s="2" t="s">
        <v>63</v>
      </c>
      <c r="C52" s="9">
        <v>46082</v>
      </c>
      <c r="D52" s="5">
        <v>21894271</v>
      </c>
      <c r="E52" s="5"/>
      <c r="F52" s="4"/>
      <c r="G52" s="4">
        <f t="shared" si="0"/>
        <v>21894271</v>
      </c>
      <c r="H52" s="4" t="s">
        <v>11</v>
      </c>
      <c r="I52" s="5" t="s">
        <v>12</v>
      </c>
      <c r="J52" s="2" t="s">
        <v>16</v>
      </c>
    </row>
    <row r="53" spans="1:10" x14ac:dyDescent="0.35">
      <c r="A53" s="2" t="s">
        <v>61</v>
      </c>
      <c r="B53" s="2" t="s">
        <v>63</v>
      </c>
      <c r="C53" s="9">
        <v>46113</v>
      </c>
      <c r="D53" s="5">
        <v>21894271</v>
      </c>
      <c r="E53" s="5"/>
      <c r="F53" s="4"/>
      <c r="G53" s="4">
        <f t="shared" si="0"/>
        <v>21894271</v>
      </c>
      <c r="H53" s="4" t="s">
        <v>11</v>
      </c>
      <c r="I53" s="5" t="s">
        <v>12</v>
      </c>
      <c r="J53" s="2" t="s">
        <v>16</v>
      </c>
    </row>
    <row r="54" spans="1:10" x14ac:dyDescent="0.35">
      <c r="A54" s="2" t="s">
        <v>61</v>
      </c>
      <c r="B54" s="2" t="s">
        <v>63</v>
      </c>
      <c r="C54" s="9">
        <v>46143</v>
      </c>
      <c r="D54" s="5">
        <v>21894271</v>
      </c>
      <c r="E54" s="5"/>
      <c r="F54" s="4"/>
      <c r="G54" s="4">
        <f t="shared" si="0"/>
        <v>21894271</v>
      </c>
      <c r="H54" s="4" t="s">
        <v>11</v>
      </c>
      <c r="I54" s="5" t="s">
        <v>12</v>
      </c>
      <c r="J54" s="2" t="s">
        <v>16</v>
      </c>
    </row>
    <row r="55" spans="1:10" x14ac:dyDescent="0.35">
      <c r="A55" s="2" t="s">
        <v>61</v>
      </c>
      <c r="B55" s="2" t="s">
        <v>63</v>
      </c>
      <c r="C55" s="9">
        <v>46174</v>
      </c>
      <c r="D55" s="5">
        <v>30024916</v>
      </c>
      <c r="E55" s="5"/>
      <c r="F55" s="4"/>
      <c r="G55" s="4">
        <f t="shared" si="0"/>
        <v>30024916</v>
      </c>
      <c r="H55" s="4" t="s">
        <v>11</v>
      </c>
      <c r="I55" s="5" t="s">
        <v>12</v>
      </c>
      <c r="J55" s="2" t="s">
        <v>16</v>
      </c>
    </row>
    <row r="56" spans="1:10" x14ac:dyDescent="0.35">
      <c r="A56" s="2" t="s">
        <v>61</v>
      </c>
      <c r="B56" s="2" t="s">
        <v>63</v>
      </c>
      <c r="C56" s="9">
        <v>46204</v>
      </c>
      <c r="D56" s="5">
        <v>30024916</v>
      </c>
      <c r="E56" s="5"/>
      <c r="F56" s="4"/>
      <c r="G56" s="4">
        <f t="shared" si="0"/>
        <v>30024916</v>
      </c>
      <c r="H56" s="4" t="s">
        <v>11</v>
      </c>
      <c r="I56" s="5" t="s">
        <v>12</v>
      </c>
      <c r="J56" s="2" t="s">
        <v>16</v>
      </c>
    </row>
    <row r="57" spans="1:10" x14ac:dyDescent="0.35">
      <c r="A57" s="2" t="s">
        <v>61</v>
      </c>
      <c r="B57" s="2" t="s">
        <v>63</v>
      </c>
      <c r="C57" s="9">
        <v>46235</v>
      </c>
      <c r="D57" s="5">
        <v>30024916</v>
      </c>
      <c r="E57" s="5"/>
      <c r="F57" s="4"/>
      <c r="G57" s="4">
        <f t="shared" si="0"/>
        <v>30024916</v>
      </c>
      <c r="H57" s="4" t="s">
        <v>11</v>
      </c>
      <c r="I57" s="5" t="s">
        <v>12</v>
      </c>
      <c r="J57" s="2" t="s">
        <v>16</v>
      </c>
    </row>
    <row r="58" spans="1:10" x14ac:dyDescent="0.35">
      <c r="A58" s="2" t="s">
        <v>61</v>
      </c>
      <c r="B58" s="2" t="s">
        <v>63</v>
      </c>
      <c r="C58" s="9">
        <v>46266</v>
      </c>
      <c r="D58" s="5">
        <v>36800453</v>
      </c>
      <c r="E58" s="5"/>
      <c r="F58" s="4"/>
      <c r="G58" s="4">
        <f t="shared" si="0"/>
        <v>36800453</v>
      </c>
      <c r="H58" s="4" t="s">
        <v>11</v>
      </c>
      <c r="I58" s="5" t="s">
        <v>12</v>
      </c>
      <c r="J58" s="2" t="s">
        <v>16</v>
      </c>
    </row>
    <row r="59" spans="1:10" x14ac:dyDescent="0.35">
      <c r="A59" s="2" t="s">
        <v>61</v>
      </c>
      <c r="B59" s="2" t="s">
        <v>63</v>
      </c>
      <c r="C59" s="9">
        <v>46296</v>
      </c>
      <c r="D59" s="5">
        <v>36800453</v>
      </c>
      <c r="E59" s="5"/>
      <c r="F59" s="4"/>
      <c r="G59" s="4">
        <f t="shared" si="0"/>
        <v>36800453</v>
      </c>
      <c r="H59" s="4" t="s">
        <v>11</v>
      </c>
      <c r="I59" s="5" t="s">
        <v>12</v>
      </c>
      <c r="J59" s="2" t="s">
        <v>16</v>
      </c>
    </row>
    <row r="60" spans="1:10" x14ac:dyDescent="0.35">
      <c r="A60" s="2" t="s">
        <v>61</v>
      </c>
      <c r="B60" s="2" t="s">
        <v>63</v>
      </c>
      <c r="C60" s="9">
        <v>46327</v>
      </c>
      <c r="D60" s="5">
        <v>36800453</v>
      </c>
      <c r="E60" s="5"/>
      <c r="F60" s="4"/>
      <c r="G60" s="4">
        <f t="shared" si="0"/>
        <v>36800453</v>
      </c>
      <c r="H60" s="4" t="s">
        <v>11</v>
      </c>
      <c r="I60" s="5" t="s">
        <v>12</v>
      </c>
      <c r="J60" s="2" t="s">
        <v>16</v>
      </c>
    </row>
    <row r="61" spans="1:10" x14ac:dyDescent="0.35">
      <c r="A61" s="2" t="s">
        <v>61</v>
      </c>
      <c r="B61" s="2" t="s">
        <v>63</v>
      </c>
      <c r="C61" s="9">
        <v>46357</v>
      </c>
      <c r="D61" s="5">
        <v>36800457</v>
      </c>
      <c r="E61" s="5"/>
      <c r="F61" s="4"/>
      <c r="G61" s="4">
        <f t="shared" si="0"/>
        <v>36800457</v>
      </c>
      <c r="H61" s="4" t="s">
        <v>11</v>
      </c>
      <c r="I61" s="5" t="s">
        <v>12</v>
      </c>
      <c r="J61" s="2" t="s">
        <v>16</v>
      </c>
    </row>
    <row r="62" spans="1:10" x14ac:dyDescent="0.35">
      <c r="A62" s="2" t="s">
        <v>61</v>
      </c>
      <c r="B62" s="2" t="s">
        <v>64</v>
      </c>
      <c r="C62" s="8">
        <v>46023</v>
      </c>
      <c r="D62" s="5">
        <v>379167800</v>
      </c>
      <c r="E62" s="5">
        <v>87844056</v>
      </c>
      <c r="F62" s="4">
        <v>313232000</v>
      </c>
      <c r="G62" s="4">
        <f t="shared" si="0"/>
        <v>-21908256</v>
      </c>
      <c r="H62" s="4" t="s">
        <v>15</v>
      </c>
      <c r="I62" s="5" t="s">
        <v>12</v>
      </c>
      <c r="J62" s="2" t="s">
        <v>16</v>
      </c>
    </row>
    <row r="63" spans="1:10" x14ac:dyDescent="0.35">
      <c r="A63" s="2" t="s">
        <v>61</v>
      </c>
      <c r="B63" s="2" t="s">
        <v>65</v>
      </c>
      <c r="C63" s="8">
        <v>46023</v>
      </c>
      <c r="D63" s="5">
        <v>70793377</v>
      </c>
      <c r="E63" s="5"/>
      <c r="F63" s="4"/>
      <c r="G63" s="4">
        <f t="shared" si="0"/>
        <v>70793377</v>
      </c>
      <c r="H63" s="4" t="s">
        <v>15</v>
      </c>
      <c r="I63" s="5" t="s">
        <v>12</v>
      </c>
      <c r="J63" s="2" t="s">
        <v>13</v>
      </c>
    </row>
    <row r="64" spans="1:10" x14ac:dyDescent="0.35">
      <c r="A64" s="2" t="s">
        <v>66</v>
      </c>
      <c r="B64" s="4" t="s">
        <v>67</v>
      </c>
      <c r="C64" s="8">
        <v>46023</v>
      </c>
      <c r="D64" s="5">
        <v>0</v>
      </c>
      <c r="E64" s="5">
        <v>233596442</v>
      </c>
      <c r="F64" s="4">
        <v>32650945</v>
      </c>
      <c r="G64" s="4">
        <f t="shared" si="0"/>
        <v>-266247387</v>
      </c>
      <c r="H64" s="4" t="s">
        <v>15</v>
      </c>
      <c r="I64" s="4" t="s">
        <v>12</v>
      </c>
      <c r="J64" s="2" t="s">
        <v>13</v>
      </c>
    </row>
    <row r="65" spans="1:10" x14ac:dyDescent="0.35">
      <c r="A65" s="2" t="s">
        <v>68</v>
      </c>
      <c r="B65" s="4" t="s">
        <v>69</v>
      </c>
      <c r="C65" s="8">
        <v>46023</v>
      </c>
      <c r="D65" s="5">
        <v>1471896372</v>
      </c>
      <c r="E65" s="5">
        <v>402327605</v>
      </c>
      <c r="F65" s="4">
        <v>1057529154</v>
      </c>
      <c r="G65" s="4">
        <f t="shared" si="0"/>
        <v>12039613</v>
      </c>
      <c r="H65" s="4" t="s">
        <v>15</v>
      </c>
      <c r="I65" s="4" t="s">
        <v>23</v>
      </c>
      <c r="J65" s="2" t="s">
        <v>16</v>
      </c>
    </row>
    <row r="66" spans="1:10" x14ac:dyDescent="0.35">
      <c r="A66" s="2" t="s">
        <v>68</v>
      </c>
      <c r="B66" s="4" t="s">
        <v>70</v>
      </c>
      <c r="C66" s="9">
        <v>46054</v>
      </c>
      <c r="D66" s="5">
        <v>10000000</v>
      </c>
      <c r="E66" s="5"/>
      <c r="F66" s="4"/>
      <c r="G66" s="4">
        <f t="shared" ref="G66:G71" si="1">D66-E66-F66</f>
        <v>10000000</v>
      </c>
      <c r="H66" s="4" t="s">
        <v>11</v>
      </c>
      <c r="I66" s="4" t="s">
        <v>12</v>
      </c>
      <c r="J66" s="2" t="s">
        <v>13</v>
      </c>
    </row>
    <row r="67" spans="1:10" x14ac:dyDescent="0.35">
      <c r="A67" s="2" t="s">
        <v>68</v>
      </c>
      <c r="B67" s="4" t="s">
        <v>70</v>
      </c>
      <c r="C67" s="9">
        <v>46113</v>
      </c>
      <c r="D67" s="5">
        <v>10000000</v>
      </c>
      <c r="E67" s="5"/>
      <c r="F67" s="4"/>
      <c r="G67" s="4">
        <f t="shared" si="1"/>
        <v>10000000</v>
      </c>
      <c r="H67" s="4" t="s">
        <v>11</v>
      </c>
      <c r="I67" s="4" t="s">
        <v>12</v>
      </c>
      <c r="J67" s="2" t="s">
        <v>13</v>
      </c>
    </row>
    <row r="68" spans="1:10" x14ac:dyDescent="0.35">
      <c r="A68" s="2" t="s">
        <v>68</v>
      </c>
      <c r="B68" s="4" t="s">
        <v>70</v>
      </c>
      <c r="C68" s="9">
        <v>46174</v>
      </c>
      <c r="D68" s="5">
        <v>10000000</v>
      </c>
      <c r="E68" s="5"/>
      <c r="F68" s="4"/>
      <c r="G68" s="4">
        <f t="shared" si="1"/>
        <v>10000000</v>
      </c>
      <c r="H68" s="4" t="s">
        <v>11</v>
      </c>
      <c r="I68" s="4" t="s">
        <v>12</v>
      </c>
      <c r="J68" s="2" t="s">
        <v>13</v>
      </c>
    </row>
    <row r="69" spans="1:10" x14ac:dyDescent="0.35">
      <c r="A69" s="2" t="s">
        <v>68</v>
      </c>
      <c r="B69" s="4" t="s">
        <v>70</v>
      </c>
      <c r="C69" s="9">
        <v>46235</v>
      </c>
      <c r="D69" s="5">
        <v>10000000</v>
      </c>
      <c r="E69" s="5"/>
      <c r="F69" s="4"/>
      <c r="G69" s="4">
        <f t="shared" si="1"/>
        <v>10000000</v>
      </c>
      <c r="H69" s="4" t="s">
        <v>11</v>
      </c>
      <c r="I69" s="4" t="s">
        <v>12</v>
      </c>
      <c r="J69" s="2" t="s">
        <v>13</v>
      </c>
    </row>
    <row r="70" spans="1:10" x14ac:dyDescent="0.35">
      <c r="A70" s="2" t="s">
        <v>68</v>
      </c>
      <c r="B70" s="4" t="s">
        <v>70</v>
      </c>
      <c r="C70" s="9">
        <v>46296</v>
      </c>
      <c r="D70" s="5">
        <v>10000000</v>
      </c>
      <c r="E70" s="5"/>
      <c r="F70" s="4"/>
      <c r="G70" s="4">
        <f t="shared" si="1"/>
        <v>10000000</v>
      </c>
      <c r="H70" s="4" t="s">
        <v>11</v>
      </c>
      <c r="I70" s="4" t="s">
        <v>12</v>
      </c>
      <c r="J70" s="2" t="s">
        <v>13</v>
      </c>
    </row>
    <row r="71" spans="1:10" x14ac:dyDescent="0.35">
      <c r="A71" s="2" t="s">
        <v>68</v>
      </c>
      <c r="B71" s="4" t="s">
        <v>70</v>
      </c>
      <c r="C71" s="9">
        <v>46357</v>
      </c>
      <c r="D71" s="5">
        <v>10000000</v>
      </c>
      <c r="E71" s="5"/>
      <c r="F71" s="4"/>
      <c r="G71" s="4">
        <f t="shared" si="1"/>
        <v>10000000</v>
      </c>
      <c r="H71" s="4" t="s">
        <v>11</v>
      </c>
      <c r="I71" s="4" t="s">
        <v>12</v>
      </c>
      <c r="J71" s="2" t="s">
        <v>13</v>
      </c>
    </row>
  </sheetData>
  <autoFilter ref="A1:J71" xr:uid="{F0141ABA-5C2B-49D2-86F3-ABB0F75B7E3B}"/>
  <conditionalFormatting sqref="A1:J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Lopez</dc:creator>
  <cp:lastModifiedBy>Emilio Lopez</cp:lastModifiedBy>
  <dcterms:created xsi:type="dcterms:W3CDTF">2026-03-11T18:53:34Z</dcterms:created>
  <dcterms:modified xsi:type="dcterms:W3CDTF">2026-06-08T15:37:50Z</dcterms:modified>
</cp:coreProperties>
</file>